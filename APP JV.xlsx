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le.darhouge\Downloads\"/>
    </mc:Choice>
  </mc:AlternateContent>
  <xr:revisionPtr revIDLastSave="0" documentId="13_ncr:1_{095E485D-40D8-4A9C-A99D-DAE249CB89EC}" xr6:coauthVersionLast="47" xr6:coauthVersionMax="47" xr10:uidLastSave="{00000000-0000-0000-0000-000000000000}"/>
  <bookViews>
    <workbookView xWindow="-108" yWindow="-108" windowWidth="23256" windowHeight="12456" tabRatio="345" xr2:uid="{D63472A4-8300-4934-9C87-0EC792DCF89D}"/>
  </bookViews>
  <sheets>
    <sheet name="APP JV" sheetId="3" r:id="rId1"/>
    <sheet name="Planilha2" sheetId="2" r:id="rId2"/>
  </sheets>
  <definedNames>
    <definedName name="aporte">#REF!</definedName>
    <definedName name="patrimonio">#REF!</definedName>
    <definedName name="qtd_anos">#REF!</definedName>
    <definedName name="rendimento_carteira">#REF!</definedName>
    <definedName name="salario">#REF!</definedName>
    <definedName name="sugestao_investimento">#REF!</definedName>
    <definedName name="taxa_mens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D25" i="3"/>
  <c r="D26" i="3"/>
  <c r="D27" i="3"/>
  <c r="D23" i="3"/>
  <c r="C27" i="3"/>
  <c r="C26" i="3"/>
  <c r="C25" i="3"/>
  <c r="C24" i="3"/>
  <c r="C23" i="3"/>
  <c r="C34" i="3"/>
  <c r="C35" i="3"/>
  <c r="C36" i="3"/>
  <c r="C37" i="3"/>
  <c r="C38" i="3"/>
  <c r="C33" i="3"/>
  <c r="C30" i="3"/>
  <c r="D35" i="3" s="1"/>
  <c r="D18" i="3"/>
  <c r="D19" i="3" s="1"/>
  <c r="D12" i="3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34" i="3" l="1"/>
  <c r="D33" i="3"/>
  <c r="D37" i="3"/>
  <c r="D36" i="3"/>
  <c r="D38" i="3"/>
  <c r="D39" i="3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<sst xmlns="http://schemas.openxmlformats.org/spreadsheetml/2006/main" count="71" uniqueCount="34">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</sst>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4AF5A"/>
        <bgColor indexed="64"/>
      </patternFill>
    </fill>
    <fill>
      <patternFill patternType="solid">
        <fgColor rgb="FFFBF0C9"/>
        <bgColor indexed="64"/>
      </patternFill>
    </fill>
    <fill>
      <patternFill patternType="solid">
        <fgColor rgb="FFFDF8E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4AF5A"/>
      </left>
      <right style="thin">
        <color rgb="FFD4AF5A"/>
      </right>
      <top style="thin">
        <color rgb="FFD4AF5A"/>
      </top>
      <bottom style="thin">
        <color rgb="FFD4AF5A"/>
      </bottom>
      <diagonal/>
    </border>
    <border>
      <left style="medium">
        <color rgb="FFD4AF5A"/>
      </left>
      <right/>
      <top style="medium">
        <color rgb="FFD4AF5A"/>
      </top>
      <bottom/>
      <diagonal/>
    </border>
    <border>
      <left/>
      <right/>
      <top style="medium">
        <color rgb="FFD4AF5A"/>
      </top>
      <bottom/>
      <diagonal/>
    </border>
    <border>
      <left/>
      <right style="medium">
        <color rgb="FFD4AF5A"/>
      </right>
      <top style="medium">
        <color rgb="FFD4AF5A"/>
      </top>
      <bottom/>
      <diagonal/>
    </border>
    <border>
      <left style="thin">
        <color rgb="FFD4AF5A"/>
      </left>
      <right/>
      <top style="thin">
        <color rgb="FFD4AF5A"/>
      </top>
      <bottom style="thin">
        <color rgb="FFD4AF5A"/>
      </bottom>
      <diagonal/>
    </border>
    <border>
      <left/>
      <right style="thin">
        <color rgb="FFD4AF5A"/>
      </right>
      <top style="thin">
        <color rgb="FFD4AF5A"/>
      </top>
      <bottom style="thin">
        <color rgb="FFD4AF5A"/>
      </bottom>
      <diagonal/>
    </border>
    <border>
      <left/>
      <right style="thin">
        <color rgb="FFD4AF5A"/>
      </right>
      <top style="medium">
        <color rgb="FFD4AF5A"/>
      </top>
      <bottom/>
      <diagonal/>
    </border>
    <border>
      <left style="thin">
        <color rgb="FFD4AF5A"/>
      </left>
      <right style="medium">
        <color rgb="FFD4AF5A"/>
      </right>
      <top style="medium">
        <color rgb="FFD4AF5A"/>
      </top>
      <bottom/>
      <diagonal/>
    </border>
    <border>
      <left style="thin">
        <color rgb="FFD4AF5A"/>
      </left>
      <right style="thin">
        <color rgb="FFD4AF5A"/>
      </right>
      <top style="thin">
        <color rgb="FFD4AF5A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3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9" fontId="2" fillId="2" borderId="0" xfId="2" applyFont="1" applyFill="1"/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0" fillId="5" borderId="0" xfId="0" applyFill="1"/>
    <xf numFmtId="0" fontId="0" fillId="5" borderId="2" xfId="0" applyFill="1" applyBorder="1"/>
    <xf numFmtId="0" fontId="5" fillId="6" borderId="0" xfId="0" applyFont="1" applyFill="1" applyAlignment="1">
      <alignment horizontal="center"/>
    </xf>
    <xf numFmtId="0" fontId="5" fillId="6" borderId="0" xfId="3" applyFont="1" applyFill="1"/>
    <xf numFmtId="0" fontId="5" fillId="6" borderId="0" xfId="3" applyFont="1" applyFill="1" applyAlignment="1">
      <alignment horizontal="center"/>
    </xf>
    <xf numFmtId="0" fontId="0" fillId="6" borderId="0" xfId="0" applyFill="1"/>
    <xf numFmtId="0" fontId="5" fillId="6" borderId="3" xfId="0" applyFont="1" applyFill="1" applyBorder="1" applyAlignment="1">
      <alignment horizontal="left"/>
    </xf>
    <xf numFmtId="0" fontId="5" fillId="6" borderId="4" xfId="0" applyFont="1" applyFill="1" applyBorder="1" applyAlignment="1">
      <alignment horizontal="left"/>
    </xf>
    <xf numFmtId="0" fontId="5" fillId="6" borderId="5" xfId="0" applyFont="1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8" borderId="6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0" fontId="0" fillId="8" borderId="6" xfId="0" applyFill="1" applyBorder="1" applyAlignment="1">
      <alignment horizontal="left"/>
    </xf>
    <xf numFmtId="0" fontId="0" fillId="8" borderId="7" xfId="0" applyFill="1" applyBorder="1" applyAlignment="1">
      <alignment horizontal="left"/>
    </xf>
    <xf numFmtId="0" fontId="5" fillId="6" borderId="10" xfId="3" applyFont="1" applyFill="1" applyBorder="1"/>
    <xf numFmtId="0" fontId="0" fillId="7" borderId="0" xfId="0" applyFill="1" applyBorder="1"/>
    <xf numFmtId="0" fontId="0" fillId="5" borderId="0" xfId="0" applyFill="1" applyBorder="1"/>
    <xf numFmtId="0" fontId="3" fillId="7" borderId="0" xfId="0" applyFont="1" applyFill="1" applyBorder="1"/>
    <xf numFmtId="0" fontId="6" fillId="6" borderId="3" xfId="0" applyFont="1" applyFill="1" applyBorder="1" applyAlignment="1">
      <alignment horizontal="left"/>
    </xf>
    <xf numFmtId="0" fontId="6" fillId="6" borderId="8" xfId="0" applyFont="1" applyFill="1" applyBorder="1" applyAlignment="1">
      <alignment horizontal="left"/>
    </xf>
    <xf numFmtId="0" fontId="4" fillId="5" borderId="0" xfId="0" applyFont="1" applyFill="1"/>
    <xf numFmtId="164" fontId="0" fillId="8" borderId="2" xfId="1" applyNumberFormat="1" applyFont="1" applyFill="1" applyBorder="1" applyAlignment="1">
      <alignment horizontal="center"/>
    </xf>
    <xf numFmtId="6" fontId="0" fillId="8" borderId="2" xfId="0" applyNumberFormat="1" applyFill="1" applyBorder="1" applyAlignment="1">
      <alignment horizontal="center"/>
    </xf>
    <xf numFmtId="10" fontId="0" fillId="5" borderId="2" xfId="0" applyNumberFormat="1" applyFill="1" applyBorder="1" applyAlignment="1">
      <alignment horizontal="center"/>
    </xf>
    <xf numFmtId="8" fontId="0" fillId="8" borderId="2" xfId="0" applyNumberFormat="1" applyFill="1" applyBorder="1" applyAlignment="1">
      <alignment horizontal="center"/>
    </xf>
    <xf numFmtId="164" fontId="0" fillId="5" borderId="2" xfId="1" applyNumberFormat="1" applyFont="1" applyFill="1" applyBorder="1" applyAlignment="1">
      <alignment horizontal="center"/>
    </xf>
    <xf numFmtId="164" fontId="0" fillId="8" borderId="2" xfId="0" applyNumberFormat="1" applyFill="1" applyBorder="1" applyAlignment="1">
      <alignment horizontal="center"/>
    </xf>
    <xf numFmtId="44" fontId="3" fillId="7" borderId="0" xfId="0" applyNumberFormat="1" applyFont="1" applyFill="1" applyBorder="1"/>
    <xf numFmtId="9" fontId="0" fillId="5" borderId="2" xfId="2" applyFont="1" applyFill="1" applyBorder="1" applyAlignment="1">
      <alignment horizontal="center"/>
    </xf>
    <xf numFmtId="44" fontId="3" fillId="6" borderId="0" xfId="0" applyNumberFormat="1" applyFont="1" applyFill="1" applyAlignment="1">
      <alignment horizontal="center"/>
    </xf>
    <xf numFmtId="0" fontId="5" fillId="6" borderId="9" xfId="0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DF8E7"/>
      <color rgb="FFFBF0C9"/>
      <color rgb="FFD4AF5A"/>
      <color rgb="FFF3F3F3"/>
      <color rgb="FFF7DF85"/>
      <color rgb="FFF3ECC5"/>
      <color rgb="FFDEC282"/>
      <color rgb="FFF6D96E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523295</xdr:colOff>
      <xdr:row>0</xdr:row>
      <xdr:rowOff>0</xdr:rowOff>
    </xdr:from>
    <xdr:to>
      <xdr:col>3</xdr:col>
      <xdr:colOff>1288142</xdr:colOff>
      <xdr:row>7</xdr:row>
      <xdr:rowOff>147204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9E8A408-C43E-E760-8373-15C1B7A9D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295" y="0"/>
          <a:ext cx="5501370" cy="1420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E521-BAB5-4CC6-82A1-9A8B2036F158}">
  <dimension ref="A8:XFD39"/>
  <sheetViews>
    <sheetView showGridLines="0" showRowColHeaders="0" tabSelected="1" zoomScale="88" zoomScaleNormal="88" workbookViewId="0">
      <selection activeCell="D22" sqref="D2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x14ac:dyDescent="0.3"/>
  <cols>
    <col min="1" max="1" width="8.88671875" style="13" customWidth="1"/>
    <col min="2" max="2" width="39.33203125" style="13" customWidth="1"/>
    <col min="3" max="3" width="20.77734375" style="13" customWidth="1"/>
    <col min="4" max="4" width="20.109375" style="13" customWidth="1"/>
    <col min="5" max="5" width="8.88671875" style="13" customWidth="1"/>
    <col min="6" max="6" width="8.88671875" style="13" hidden="1" customWidth="1"/>
    <col min="7" max="9" width="8.88671875" style="13" hidden="1"/>
    <col min="10" max="16383" width="8.88671875" hidden="1"/>
    <col min="16384" max="16384" width="34.6640625" hidden="1"/>
  </cols>
  <sheetData>
    <row r="8" spans="2:4" ht="15" thickBot="1" x14ac:dyDescent="0.35"/>
    <row r="9" spans="2:4" x14ac:dyDescent="0.3">
      <c r="B9" s="19" t="s">
        <v>15</v>
      </c>
      <c r="C9" s="20"/>
      <c r="D9" s="21"/>
    </row>
    <row r="10" spans="2:4" x14ac:dyDescent="0.3">
      <c r="B10" s="23" t="s">
        <v>14</v>
      </c>
      <c r="C10" s="24"/>
      <c r="D10" s="38">
        <v>2000</v>
      </c>
    </row>
    <row r="11" spans="2:4" x14ac:dyDescent="0.3">
      <c r="B11" s="23" t="s">
        <v>13</v>
      </c>
      <c r="C11" s="24"/>
      <c r="D11" s="36">
        <v>6.0000000000000001E-3</v>
      </c>
    </row>
    <row r="12" spans="2:4" x14ac:dyDescent="0.3">
      <c r="B12" s="23" t="s">
        <v>33</v>
      </c>
      <c r="C12" s="24"/>
      <c r="D12" s="39">
        <f>D10*30%</f>
        <v>600</v>
      </c>
    </row>
    <row r="13" spans="2:4" ht="15" thickBot="1" x14ac:dyDescent="0.35"/>
    <row r="14" spans="2:4" x14ac:dyDescent="0.3">
      <c r="B14" s="19" t="s">
        <v>5</v>
      </c>
      <c r="C14" s="20"/>
      <c r="D14" s="21"/>
    </row>
    <row r="15" spans="2:4" x14ac:dyDescent="0.3">
      <c r="B15" s="25" t="s">
        <v>0</v>
      </c>
      <c r="C15" s="26"/>
      <c r="D15" s="38">
        <v>200</v>
      </c>
    </row>
    <row r="16" spans="2:4" x14ac:dyDescent="0.3">
      <c r="B16" s="25" t="s">
        <v>1</v>
      </c>
      <c r="C16" s="26"/>
      <c r="D16" s="22">
        <v>5</v>
      </c>
    </row>
    <row r="17" spans="1:4" x14ac:dyDescent="0.3">
      <c r="B17" s="25" t="s">
        <v>2</v>
      </c>
      <c r="C17" s="26"/>
      <c r="D17" s="36">
        <v>1.0800000000000001E-2</v>
      </c>
    </row>
    <row r="18" spans="1:4" x14ac:dyDescent="0.3">
      <c r="B18" s="25" t="s">
        <v>3</v>
      </c>
      <c r="C18" s="26"/>
      <c r="D18" s="37">
        <f>FV($D$17,D16*12,-$D$15)</f>
        <v>16760.803871851687</v>
      </c>
    </row>
    <row r="19" spans="1:4" x14ac:dyDescent="0.3">
      <c r="B19" s="25" t="s">
        <v>4</v>
      </c>
      <c r="C19" s="26"/>
      <c r="D19" s="37">
        <f>D18*D11</f>
        <v>100.56482323111013</v>
      </c>
    </row>
    <row r="21" spans="1:4" ht="15" thickBot="1" x14ac:dyDescent="0.35"/>
    <row r="22" spans="1:4" ht="15.6" x14ac:dyDescent="0.3">
      <c r="B22" s="31" t="s">
        <v>11</v>
      </c>
      <c r="C22" s="32"/>
      <c r="D22" s="43" t="s">
        <v>12</v>
      </c>
    </row>
    <row r="23" spans="1:4" x14ac:dyDescent="0.3">
      <c r="A23" s="33">
        <v>2</v>
      </c>
      <c r="B23" s="25" t="s">
        <v>6</v>
      </c>
      <c r="C23" s="34">
        <f>FV($D$17,$A23*12,-$D$15)</f>
        <v>5446.172732116318</v>
      </c>
      <c r="D23" s="35">
        <f>C23*$D$11</f>
        <v>32.677036392697907</v>
      </c>
    </row>
    <row r="24" spans="1:4" x14ac:dyDescent="0.3">
      <c r="A24" s="33">
        <v>5</v>
      </c>
      <c r="B24" s="25" t="s">
        <v>7</v>
      </c>
      <c r="C24" s="34">
        <f>FV($D$17,$A24*12,-$D$15)</f>
        <v>16760.803871851687</v>
      </c>
      <c r="D24" s="35">
        <f t="shared" ref="D24:D27" si="0">C24*$D$11</f>
        <v>100.56482323111013</v>
      </c>
    </row>
    <row r="25" spans="1:4" x14ac:dyDescent="0.3">
      <c r="A25" s="33">
        <v>10</v>
      </c>
      <c r="B25" s="25" t="s">
        <v>8</v>
      </c>
      <c r="C25" s="34">
        <f>FV($D$17,$A25*12,-$D$15)</f>
        <v>48691.533250960019</v>
      </c>
      <c r="D25" s="35">
        <f t="shared" si="0"/>
        <v>292.14919950576012</v>
      </c>
    </row>
    <row r="26" spans="1:4" x14ac:dyDescent="0.3">
      <c r="A26" s="33">
        <v>20</v>
      </c>
      <c r="B26" s="25" t="s">
        <v>9</v>
      </c>
      <c r="C26" s="34">
        <f>FV($D$17,$A26*12,-$D$15)</f>
        <v>225409.79865970465</v>
      </c>
      <c r="D26" s="35">
        <f t="shared" si="0"/>
        <v>1352.4587919582279</v>
      </c>
    </row>
    <row r="27" spans="1:4" x14ac:dyDescent="0.3">
      <c r="A27" s="33">
        <v>30</v>
      </c>
      <c r="B27" s="25" t="s">
        <v>10</v>
      </c>
      <c r="C27" s="34">
        <f>FV($D$17,$A27*12,-$D$15)</f>
        <v>866780.96206335025</v>
      </c>
      <c r="D27" s="35">
        <f t="shared" si="0"/>
        <v>5200.6857723801013</v>
      </c>
    </row>
    <row r="29" spans="1:4" x14ac:dyDescent="0.3">
      <c r="B29" s="27" t="s">
        <v>20</v>
      </c>
      <c r="C29" s="17" t="s">
        <v>18</v>
      </c>
      <c r="D29" s="16"/>
    </row>
    <row r="30" spans="1:4" x14ac:dyDescent="0.3">
      <c r="B30" s="30" t="s">
        <v>19</v>
      </c>
      <c r="C30" s="40">
        <f>D15</f>
        <v>200</v>
      </c>
      <c r="D30" s="28"/>
    </row>
    <row r="31" spans="1:4" x14ac:dyDescent="0.3">
      <c r="B31" s="29"/>
      <c r="C31" s="29"/>
      <c r="D31" s="29"/>
    </row>
    <row r="32" spans="1:4" x14ac:dyDescent="0.3">
      <c r="B32" s="15" t="s">
        <v>21</v>
      </c>
      <c r="C32" s="15" t="s">
        <v>22</v>
      </c>
      <c r="D32" s="15" t="s">
        <v>23</v>
      </c>
    </row>
    <row r="33" spans="2:4" x14ac:dyDescent="0.3">
      <c r="B33" s="14" t="s">
        <v>24</v>
      </c>
      <c r="C33" s="41">
        <f>VLOOKUP($C$29&amp;"-"&amp;B33,Planilha2!$A:$D,4,FALSE)</f>
        <v>0.5</v>
      </c>
      <c r="D33" s="34">
        <f>C33*$C$30</f>
        <v>100</v>
      </c>
    </row>
    <row r="34" spans="2:4" x14ac:dyDescent="0.3">
      <c r="B34" s="14" t="s">
        <v>25</v>
      </c>
      <c r="C34" s="41">
        <f>VLOOKUP($C$29&amp;"-"&amp;B34,Planilha2!$A:$D,4,FALSE)</f>
        <v>0.1</v>
      </c>
      <c r="D34" s="34">
        <f t="shared" ref="D34:D38" si="1">C34*$C$30</f>
        <v>20</v>
      </c>
    </row>
    <row r="35" spans="2:4" x14ac:dyDescent="0.3">
      <c r="B35" s="14" t="s">
        <v>26</v>
      </c>
      <c r="C35" s="41">
        <f>VLOOKUP($C$29&amp;"-"&amp;B35,Planilha2!$A:$D,4,FALSE)</f>
        <v>0.05</v>
      </c>
      <c r="D35" s="34">
        <f t="shared" si="1"/>
        <v>10</v>
      </c>
    </row>
    <row r="36" spans="2:4" x14ac:dyDescent="0.3">
      <c r="B36" s="14" t="s">
        <v>27</v>
      </c>
      <c r="C36" s="41">
        <f>VLOOKUP($C$29&amp;"-"&amp;B36,Planilha2!$A:$D,4,FALSE)</f>
        <v>0.05</v>
      </c>
      <c r="D36" s="34">
        <f t="shared" si="1"/>
        <v>10</v>
      </c>
    </row>
    <row r="37" spans="2:4" x14ac:dyDescent="0.3">
      <c r="B37" s="14" t="s">
        <v>28</v>
      </c>
      <c r="C37" s="41">
        <f>VLOOKUP($C$29&amp;"-"&amp;B37,Planilha2!$A:$D,4,FALSE)</f>
        <v>0.2</v>
      </c>
      <c r="D37" s="34">
        <f t="shared" si="1"/>
        <v>40</v>
      </c>
    </row>
    <row r="38" spans="2:4" x14ac:dyDescent="0.3">
      <c r="B38" s="14" t="s">
        <v>29</v>
      </c>
      <c r="C38" s="41">
        <f>VLOOKUP($C$29&amp;"-"&amp;B38,Planilha2!$A:$D,4,FALSE)</f>
        <v>0.1</v>
      </c>
      <c r="D38" s="34">
        <f t="shared" si="1"/>
        <v>20</v>
      </c>
    </row>
    <row r="39" spans="2:4" x14ac:dyDescent="0.3">
      <c r="B39" s="18"/>
      <c r="C39" s="18"/>
      <c r="D39" s="42">
        <f>SUM(D33:D38)</f>
        <v>200</v>
      </c>
    </row>
  </sheetData>
  <mergeCells count="6">
    <mergeCell ref="B9:D9"/>
    <mergeCell ref="B14:D14"/>
    <mergeCell ref="B22:C22"/>
    <mergeCell ref="B10:C10"/>
    <mergeCell ref="B11:C11"/>
    <mergeCell ref="B12:C12"/>
  </mergeCells>
  <dataValidations count="1">
    <dataValidation type="list" allowBlank="1" showInputMessage="1" showErrorMessage="1" sqref="C29" xr:uid="{F4B12D23-CABC-48E1-8C87-091AC0AD0080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topLeftCell="A8" zoomScale="115" zoomScaleNormal="115" workbookViewId="0">
      <selection activeCell="C7" sqref="C7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</cols>
  <sheetData>
    <row r="2" spans="1:8" x14ac:dyDescent="0.3">
      <c r="A2" s="11" t="s">
        <v>31</v>
      </c>
      <c r="B2" s="11" t="s">
        <v>20</v>
      </c>
      <c r="C2" s="12" t="s">
        <v>21</v>
      </c>
      <c r="D2" s="12" t="s">
        <v>30</v>
      </c>
    </row>
    <row r="3" spans="1:8" x14ac:dyDescent="0.3">
      <c r="A3" t="str">
        <f>B3&amp;"-"&amp;C3</f>
        <v>Conservador-PAPEL</v>
      </c>
      <c r="B3" t="s">
        <v>16</v>
      </c>
      <c r="C3" s="1" t="s">
        <v>24</v>
      </c>
      <c r="D3" s="2">
        <v>0.3</v>
      </c>
      <c r="H3" t="s">
        <v>30</v>
      </c>
    </row>
    <row r="4" spans="1:8" x14ac:dyDescent="0.3">
      <c r="A4" t="str">
        <f t="shared" ref="A4:A20" si="0">B4&amp;"-"&amp;C4</f>
        <v>Conservador-TIJOLO</v>
      </c>
      <c r="B4" t="s">
        <v>16</v>
      </c>
      <c r="C4" s="1" t="s">
        <v>25</v>
      </c>
      <c r="D4" s="2">
        <v>0.5</v>
      </c>
      <c r="G4" s="3" t="s">
        <v>32</v>
      </c>
      <c r="H4" s="10">
        <f>VLOOKUP(G4,$A:$D,4,FALSE)</f>
        <v>0.35</v>
      </c>
    </row>
    <row r="5" spans="1:8" x14ac:dyDescent="0.3">
      <c r="A5" t="str">
        <f t="shared" si="0"/>
        <v>Conservador-HÍBRIDOS</v>
      </c>
      <c r="B5" t="s">
        <v>16</v>
      </c>
      <c r="C5" s="1" t="s">
        <v>26</v>
      </c>
      <c r="D5" s="2">
        <v>0.1</v>
      </c>
    </row>
    <row r="6" spans="1:8" x14ac:dyDescent="0.3">
      <c r="A6" t="str">
        <f t="shared" si="0"/>
        <v>Conservador-FOFs</v>
      </c>
      <c r="B6" t="s">
        <v>16</v>
      </c>
      <c r="C6" s="1" t="s">
        <v>27</v>
      </c>
      <c r="D6" s="2">
        <v>0.1</v>
      </c>
    </row>
    <row r="7" spans="1:8" x14ac:dyDescent="0.3">
      <c r="A7" t="str">
        <f t="shared" si="0"/>
        <v>Conservador-DESENVOLVIMENTO</v>
      </c>
      <c r="B7" t="s">
        <v>16</v>
      </c>
      <c r="C7" s="1" t="s">
        <v>28</v>
      </c>
      <c r="D7" s="2">
        <v>0</v>
      </c>
    </row>
    <row r="8" spans="1:8" ht="15" thickBot="1" x14ac:dyDescent="0.35">
      <c r="A8" s="4" t="str">
        <f t="shared" si="0"/>
        <v>Conservador-HOTELARIAS</v>
      </c>
      <c r="B8" s="4" t="s">
        <v>16</v>
      </c>
      <c r="C8" s="5" t="s">
        <v>29</v>
      </c>
      <c r="D8" s="6">
        <v>0</v>
      </c>
    </row>
    <row r="9" spans="1:8" x14ac:dyDescent="0.3">
      <c r="A9" t="str">
        <f t="shared" si="0"/>
        <v>Moderado-PAPEL</v>
      </c>
      <c r="B9" t="s">
        <v>17</v>
      </c>
      <c r="C9" s="1" t="s">
        <v>24</v>
      </c>
      <c r="D9" s="2">
        <v>0.32</v>
      </c>
    </row>
    <row r="10" spans="1:8" x14ac:dyDescent="0.3">
      <c r="A10" s="7" t="str">
        <f t="shared" si="0"/>
        <v>Moderado-TIJOLO</v>
      </c>
      <c r="B10" s="7" t="s">
        <v>17</v>
      </c>
      <c r="C10" s="8" t="s">
        <v>25</v>
      </c>
      <c r="D10" s="9">
        <v>0.35</v>
      </c>
    </row>
    <row r="11" spans="1:8" x14ac:dyDescent="0.3">
      <c r="A11" t="str">
        <f t="shared" si="0"/>
        <v>Moderado-HÍBRIDOS</v>
      </c>
      <c r="B11" t="s">
        <v>17</v>
      </c>
      <c r="C11" s="1" t="s">
        <v>26</v>
      </c>
      <c r="D11" s="2">
        <v>0.08</v>
      </c>
    </row>
    <row r="12" spans="1:8" x14ac:dyDescent="0.3">
      <c r="A12" t="str">
        <f t="shared" si="0"/>
        <v>Moderado-FOFs</v>
      </c>
      <c r="B12" t="s">
        <v>17</v>
      </c>
      <c r="C12" s="1" t="s">
        <v>27</v>
      </c>
      <c r="D12" s="2">
        <v>0.05</v>
      </c>
    </row>
    <row r="13" spans="1:8" x14ac:dyDescent="0.3">
      <c r="A13" t="str">
        <f t="shared" si="0"/>
        <v>Moderado-DESENVOLVIMENTO</v>
      </c>
      <c r="B13" t="s">
        <v>17</v>
      </c>
      <c r="C13" s="1" t="s">
        <v>28</v>
      </c>
      <c r="D13" s="2">
        <v>0.1</v>
      </c>
    </row>
    <row r="14" spans="1:8" ht="15" thickBot="1" x14ac:dyDescent="0.35">
      <c r="A14" s="4" t="str">
        <f t="shared" si="0"/>
        <v>Moderado-HOTELARIAS</v>
      </c>
      <c r="B14" s="4" t="s">
        <v>17</v>
      </c>
      <c r="C14" s="5" t="s">
        <v>29</v>
      </c>
      <c r="D14" s="6">
        <v>0.1</v>
      </c>
    </row>
    <row r="15" spans="1:8" x14ac:dyDescent="0.3">
      <c r="A15" t="str">
        <f t="shared" si="0"/>
        <v>Agressivo-PAPEL</v>
      </c>
      <c r="B15" t="s">
        <v>18</v>
      </c>
      <c r="C15" s="1" t="s">
        <v>24</v>
      </c>
      <c r="D15" s="2">
        <v>0.5</v>
      </c>
    </row>
    <row r="16" spans="1:8" x14ac:dyDescent="0.3">
      <c r="A16" t="str">
        <f t="shared" si="0"/>
        <v>Agressivo-TIJOLO</v>
      </c>
      <c r="B16" t="s">
        <v>18</v>
      </c>
      <c r="C16" s="1" t="s">
        <v>25</v>
      </c>
      <c r="D16" s="2">
        <v>0.1</v>
      </c>
    </row>
    <row r="17" spans="1:4" x14ac:dyDescent="0.3">
      <c r="A17" t="str">
        <f t="shared" si="0"/>
        <v>Agressivo-HÍBRIDOS</v>
      </c>
      <c r="B17" t="s">
        <v>18</v>
      </c>
      <c r="C17" s="1" t="s">
        <v>26</v>
      </c>
      <c r="D17" s="2">
        <v>0.05</v>
      </c>
    </row>
    <row r="18" spans="1:4" x14ac:dyDescent="0.3">
      <c r="A18" t="str">
        <f t="shared" si="0"/>
        <v>Agressivo-FOFs</v>
      </c>
      <c r="B18" t="s">
        <v>18</v>
      </c>
      <c r="C18" s="1" t="s">
        <v>27</v>
      </c>
      <c r="D18" s="2">
        <v>0.05</v>
      </c>
    </row>
    <row r="19" spans="1:4" x14ac:dyDescent="0.3">
      <c r="A19" t="str">
        <f t="shared" si="0"/>
        <v>Agressivo-DESENVOLVIMENTO</v>
      </c>
      <c r="B19" t="s">
        <v>18</v>
      </c>
      <c r="C19" s="1" t="s">
        <v>28</v>
      </c>
      <c r="D19" s="2">
        <v>0.2</v>
      </c>
    </row>
    <row r="20" spans="1:4" x14ac:dyDescent="0.3">
      <c r="A20" t="str">
        <f t="shared" si="0"/>
        <v>Agressivo-HOTELARIAS</v>
      </c>
      <c r="B20" t="s">
        <v>18</v>
      </c>
      <c r="C20" s="1" t="s">
        <v>29</v>
      </c>
      <c r="D20" s="2">
        <v>0.1</v>
      </c>
    </row>
    <row r="21" spans="1:4" x14ac:dyDescent="0.3">
      <c r="D21" s="1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APP JV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Jamile Vitoria Valerio Darhouge</cp:lastModifiedBy>
  <dcterms:created xsi:type="dcterms:W3CDTF">2025-04-16T18:38:03Z</dcterms:created>
  <dcterms:modified xsi:type="dcterms:W3CDTF">2026-09-17T23:21:50Z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